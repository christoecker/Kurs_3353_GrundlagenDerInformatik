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GT\Lehre\GDI\docs\02-theoriephase\termin-05\code\"/>
    </mc:Choice>
  </mc:AlternateContent>
  <xr:revisionPtr revIDLastSave="0" documentId="13_ncr:1_{CF712119-0253-4E84-A1A6-A7D9C5305DC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erglei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Vorlage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Beispielwert aus dem Probelauf (n=100). Ersetzt ihn durch euren eigenen Messwert aus der Programmausgabe.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Beispielwert aus dem Probelauf (n=100). Ersetzt ihn durch euren eigenen Messwert aus der Programmausgabe.</t>
        </r>
      </text>
    </comment>
  </commentList>
</comments>
</file>

<file path=xl/sharedStrings.xml><?xml version="1.0" encoding="utf-8"?>
<sst xmlns="http://schemas.openxmlformats.org/spreadsheetml/2006/main" count="8" uniqueCount="8">
  <si>
    <t>Bubblesort vs. Quicksort — Vergleich der Anzahl Vergleiche</t>
  </si>
  <si>
    <t>Tragt in die gelben Zellen (Spalten B und C) eure gemessenen Werte aus der CSV-Ausgabe von vorgabe-33-komplexitaetsvergleich.c ein. Spalten D und E berechnen sich automatisch.</t>
  </si>
  <si>
    <t>n</t>
  </si>
  <si>
    <t>Vergleiche Bubblesort (gemessen)</t>
  </si>
  <si>
    <t>Vergleiche Quicksort (gemessen)</t>
  </si>
  <si>
    <t>Theoretisch O(n²)</t>
  </si>
  <si>
    <t>Theoretisch O(n log n)</t>
  </si>
  <si>
    <t>Hinweis zu den theoretischen Spalten: Da die Konstante c der O-Notation unbekannt ist, werden die theoretischen Kurven so skaliert, dass sie beim größten n (Zeile 12) exakt auf den gemessenen Wert treffen. Verglichen wird deshalb die FORM der Kurve, nicht ihr Absolutwert.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</si>
</sst>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" fontId="4" fillId="3" borderId="1" xfId="0" applyNumberFormat="1" applyFont="1" applyFill="1" applyBorder="1"/>
    <xf numFmtId="3" fontId="4" fillId="0" borderId="1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 anchor="t" anchorCtr="0"/>
          <a:lstStyle/>
          <a:p>
            <a:pPr>
              <a:defRPr/>
            </a:pPr>
            <a:r>
              <a:rPr lang="de-DE"/>
              <a:t>Anzahl Vergleiche: gemessen vs. theoretisch</a:t>
            </a:r>
          </a:p>
        </c:rich>
      </c:tx>
      <c:layout>
        <c:manualLayout>
          <c:xMode val="edge"/>
          <c:yMode val="edge"/>
          <c:x val="0.39932082018306148"/>
          <c:y val="1.75614437350471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846008031733882E-2"/>
          <c:y val="0.10274182073453389"/>
          <c:w val="0.89836159066704302"/>
          <c:h val="0.8091508949768048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Vergleich!$B$4</c:f>
              <c:strCache>
                <c:ptCount val="1"/>
                <c:pt idx="0">
                  <c:v>Vergleiche Bubblesort (gemessen)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Vergleich!$A$5:$A$12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</c:numCache>
            </c:numRef>
          </c:cat>
          <c:val>
            <c:numRef>
              <c:f>Vergleich!$B$5:$B$12</c:f>
              <c:numCache>
                <c:formatCode>#,##0</c:formatCode>
                <c:ptCount val="8"/>
                <c:pt idx="0">
                  <c:v>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7-47FC-B8A2-3C7B79AC4FA1}"/>
            </c:ext>
          </c:extLst>
        </c:ser>
        <c:ser>
          <c:idx val="1"/>
          <c:order val="1"/>
          <c:tx>
            <c:strRef>
              <c:f>Vergleich!$C$4</c:f>
              <c:strCache>
                <c:ptCount val="1"/>
                <c:pt idx="0">
                  <c:v>Vergleiche Quicksort (gemessen)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Vergleich!$A$5:$A$12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</c:numCache>
            </c:numRef>
          </c:cat>
          <c:val>
            <c:numRef>
              <c:f>Vergleich!$C$5:$C$12</c:f>
              <c:numCache>
                <c:formatCode>#,##0</c:formatCode>
                <c:ptCount val="8"/>
                <c:pt idx="0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7-47FC-B8A2-3C7B79AC4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Vergleich!$D$4</c:f>
              <c:strCache>
                <c:ptCount val="1"/>
                <c:pt idx="0">
                  <c:v>Theoretisch O(n²)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Vergleich!$D$5:$D$12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7-47FC-B8A2-3C7B79AC4FA1}"/>
            </c:ext>
          </c:extLst>
        </c:ser>
        <c:ser>
          <c:idx val="3"/>
          <c:order val="3"/>
          <c:tx>
            <c:strRef>
              <c:f>Vergleich!$E$4</c:f>
              <c:strCache>
                <c:ptCount val="1"/>
                <c:pt idx="0">
                  <c:v>Theoretisch O(n log n)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Vergleich!$E$5:$E$12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A7-47FC-B8A2-3C7B79AC4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n (Anzahl Elemente)</a:t>
                </a:r>
              </a:p>
            </c:rich>
          </c:tx>
          <c:layout>
            <c:manualLayout>
              <c:xMode val="edge"/>
              <c:yMode val="edge"/>
              <c:x val="0.47573093204411077"/>
              <c:y val="0.93238106673556043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anchor="t" anchorCtr="1"/>
              <a:lstStyle/>
              <a:p>
                <a:pPr>
                  <a:defRPr/>
                </a:pPr>
                <a:r>
                  <a:rPr lang="de-DE"/>
                  <a:t>Anzahl Vergleiche</a:t>
                </a:r>
              </a:p>
            </c:rich>
          </c:tx>
          <c:layout>
            <c:manualLayout>
              <c:xMode val="edge"/>
              <c:yMode val="edge"/>
              <c:x val="8.0685825279398493E-3"/>
              <c:y val="0.37624837962962965"/>
            </c:manualLayout>
          </c:layout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157161</xdr:rowOff>
    </xdr:from>
    <xdr:ext cx="9444038" cy="43390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ySplit="4" topLeftCell="A5" activePane="bottomLeft" state="frozen"/>
      <selection pane="bottomLeft" sqref="A1:E1"/>
    </sheetView>
  </sheetViews>
  <sheetFormatPr baseColWidth="10" defaultColWidth="9.06640625" defaultRowHeight="14.25" x14ac:dyDescent="0.45"/>
  <cols>
    <col min="1" max="1" width="10" customWidth="1"/>
    <col min="2" max="3" width="22" customWidth="1"/>
    <col min="4" max="4" width="18" customWidth="1"/>
    <col min="5" max="5" width="20" customWidth="1"/>
  </cols>
  <sheetData>
    <row r="1" spans="1:5" ht="17.649999999999999" x14ac:dyDescent="0.5">
      <c r="A1" s="7" t="s">
        <v>0</v>
      </c>
      <c r="B1" s="6"/>
      <c r="C1" s="6"/>
      <c r="D1" s="6"/>
      <c r="E1" s="6"/>
    </row>
    <row r="2" spans="1:5" ht="30" customHeight="1" x14ac:dyDescent="0.45">
      <c r="A2" s="5" t="s">
        <v>1</v>
      </c>
      <c r="B2" s="6"/>
      <c r="C2" s="6"/>
      <c r="D2" s="6"/>
      <c r="E2" s="6"/>
    </row>
    <row r="4" spans="1:5" ht="27.75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45">
      <c r="A5" s="2">
        <v>100</v>
      </c>
      <c r="B5" s="3">
        <v>4950</v>
      </c>
      <c r="C5" s="3">
        <v>1008</v>
      </c>
      <c r="D5" s="4" t="str">
        <f t="shared" ref="D5:D12" si="0">IF($B$12="","",$B$12/($A$12^2)*A5^2)</f>
        <v/>
      </c>
      <c r="E5" s="4" t="str">
        <f t="shared" ref="E5:E12" si="1">IF($C$12="","",$C$12/($A$12*LOG($A$12,2))*A5*LOG(A5,2))</f>
        <v/>
      </c>
    </row>
    <row r="6" spans="1:5" x14ac:dyDescent="0.45">
      <c r="A6" s="2">
        <v>200</v>
      </c>
      <c r="B6" s="3"/>
      <c r="C6" s="3"/>
      <c r="D6" s="4" t="str">
        <f t="shared" si="0"/>
        <v/>
      </c>
      <c r="E6" s="4" t="str">
        <f t="shared" si="1"/>
        <v/>
      </c>
    </row>
    <row r="7" spans="1:5" x14ac:dyDescent="0.45">
      <c r="A7" s="2">
        <v>400</v>
      </c>
      <c r="B7" s="3"/>
      <c r="C7" s="3"/>
      <c r="D7" s="4" t="str">
        <f t="shared" si="0"/>
        <v/>
      </c>
      <c r="E7" s="4" t="str">
        <f t="shared" si="1"/>
        <v/>
      </c>
    </row>
    <row r="8" spans="1:5" x14ac:dyDescent="0.45">
      <c r="A8" s="2">
        <v>800</v>
      </c>
      <c r="B8" s="3"/>
      <c r="C8" s="3"/>
      <c r="D8" s="4" t="str">
        <f t="shared" si="0"/>
        <v/>
      </c>
      <c r="E8" s="4" t="str">
        <f t="shared" si="1"/>
        <v/>
      </c>
    </row>
    <row r="9" spans="1:5" x14ac:dyDescent="0.45">
      <c r="A9" s="2">
        <v>1600</v>
      </c>
      <c r="B9" s="3"/>
      <c r="C9" s="3"/>
      <c r="D9" s="4" t="str">
        <f t="shared" si="0"/>
        <v/>
      </c>
      <c r="E9" s="4" t="str">
        <f t="shared" si="1"/>
        <v/>
      </c>
    </row>
    <row r="10" spans="1:5" x14ac:dyDescent="0.45">
      <c r="A10" s="2">
        <v>3200</v>
      </c>
      <c r="B10" s="3"/>
      <c r="C10" s="3"/>
      <c r="D10" s="4" t="str">
        <f t="shared" si="0"/>
        <v/>
      </c>
      <c r="E10" s="4" t="str">
        <f t="shared" si="1"/>
        <v/>
      </c>
    </row>
    <row r="11" spans="1:5" x14ac:dyDescent="0.45">
      <c r="A11" s="2">
        <v>6400</v>
      </c>
      <c r="B11" s="3"/>
      <c r="C11" s="3"/>
      <c r="D11" s="4" t="str">
        <f t="shared" si="0"/>
        <v/>
      </c>
      <c r="E11" s="4" t="str">
        <f t="shared" si="1"/>
        <v/>
      </c>
    </row>
    <row r="12" spans="1:5" x14ac:dyDescent="0.45">
      <c r="A12" s="2">
        <v>12800</v>
      </c>
      <c r="B12" s="3"/>
      <c r="C12" s="3"/>
      <c r="D12" s="4" t="str">
        <f t="shared" si="0"/>
        <v/>
      </c>
      <c r="E12" s="4" t="str">
        <f t="shared" si="1"/>
        <v/>
      </c>
    </row>
    <row r="14" spans="1:5" ht="45" customHeight="1" x14ac:dyDescent="0.45">
      <c r="A14" s="5" t="s">
        <v>7</v>
      </c>
      <c r="B14" s="6"/>
      <c r="C14" s="6"/>
      <c r="D14" s="6"/>
      <c r="E14" s="6"/>
    </row>
  </sheetData>
  <mergeCells count="3">
    <mergeCell ref="A2:E2"/>
    <mergeCell ref="A1:E1"/>
    <mergeCell ref="A14:E14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Stöcker</cp:lastModifiedBy>
  <dcterms:created xsi:type="dcterms:W3CDTF">2026-09-28T08:07:48Z</dcterms:created>
  <dcterms:modified xsi:type="dcterms:W3CDTF">2026-09-28T11:27:12Z</dcterms:modified>
</cp:coreProperties>
</file>